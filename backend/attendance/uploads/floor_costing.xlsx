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_SHOP\Downloads\"/>
    </mc:Choice>
  </mc:AlternateContent>
  <xr:revisionPtr revIDLastSave="0" documentId="13_ncr:1_{96C2277E-933F-4CC7-8613-7DF7265FCCE5}" xr6:coauthVersionLast="47" xr6:coauthVersionMax="47" xr10:uidLastSave="{00000000-0000-0000-0000-000000000000}"/>
  <bookViews>
    <workbookView xWindow="-110" yWindow="-110" windowWidth="19420" windowHeight="10420" xr2:uid="{028FD4EA-F216-4CE8-ABD7-FE1E37E73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5" i="1"/>
  <c r="E4" i="1"/>
  <c r="E72" i="1"/>
  <c r="E71" i="1"/>
  <c r="E70" i="1"/>
  <c r="E68" i="1"/>
  <c r="E67" i="1"/>
  <c r="E66" i="1"/>
  <c r="E65" i="1"/>
  <c r="E62" i="1"/>
  <c r="E61" i="1"/>
  <c r="E60" i="1"/>
  <c r="E58" i="1"/>
  <c r="E57" i="1"/>
  <c r="E56" i="1"/>
  <c r="E55" i="1"/>
  <c r="E52" i="1"/>
  <c r="E51" i="1"/>
  <c r="E50" i="1"/>
  <c r="E48" i="1"/>
  <c r="E47" i="1"/>
  <c r="E46" i="1"/>
  <c r="E45" i="1"/>
  <c r="E53" i="1" s="1"/>
  <c r="E22" i="1"/>
  <c r="E21" i="1"/>
  <c r="E20" i="1"/>
  <c r="E11" i="1"/>
  <c r="E10" i="1"/>
  <c r="E9" i="1"/>
  <c r="E7" i="1"/>
  <c r="E6" i="1"/>
  <c r="E5" i="1"/>
  <c r="E3" i="1"/>
  <c r="E42" i="1"/>
  <c r="E41" i="1"/>
  <c r="E40" i="1"/>
  <c r="E38" i="1"/>
  <c r="E37" i="1"/>
  <c r="E36" i="1"/>
  <c r="E35" i="1"/>
  <c r="E32" i="1"/>
  <c r="E31" i="1"/>
  <c r="E172" i="1"/>
  <c r="E171" i="1"/>
  <c r="E170" i="1"/>
  <c r="E169" i="1"/>
  <c r="E28" i="1"/>
  <c r="E30" i="1"/>
  <c r="E27" i="1"/>
  <c r="E26" i="1"/>
  <c r="E25" i="1"/>
  <c r="E33" i="1" l="1"/>
  <c r="E63" i="1"/>
  <c r="E23" i="1"/>
  <c r="E75" i="1"/>
  <c r="E43" i="1"/>
  <c r="E12" i="1"/>
  <c r="E74" i="1"/>
  <c r="E73" i="1"/>
  <c r="E165" i="1"/>
  <c r="E174" i="1"/>
  <c r="E76" i="1" l="1"/>
</calcChain>
</file>

<file path=xl/sharedStrings.xml><?xml version="1.0" encoding="utf-8"?>
<sst xmlns="http://schemas.openxmlformats.org/spreadsheetml/2006/main" count="110" uniqueCount="33">
  <si>
    <t>Zebra Symbol DS9308 1D-2D-QR USB Barcode Scanner</t>
  </si>
  <si>
    <t>Fortinet Network Wireless Access Point, Model: Forti AP-231 F</t>
  </si>
  <si>
    <t>Zebra ZT 510 300 dpi Industrial Label Printer</t>
  </si>
  <si>
    <t>Units</t>
  </si>
  <si>
    <t>Price</t>
  </si>
  <si>
    <t>Taka</t>
  </si>
  <si>
    <t>Total</t>
  </si>
  <si>
    <t>Samsung Galaxy Tab S9 FE ( Wi-Fi Only) Model: for 1 sewing floor</t>
  </si>
  <si>
    <t>Another Sewing 44 Lines and Finishing 1 Floor Cost</t>
  </si>
  <si>
    <t>SL</t>
  </si>
  <si>
    <t>Item Description</t>
  </si>
  <si>
    <t xml:space="preserve">Samsunsung Galaxy Tab S9 FE (Wifi only) </t>
  </si>
  <si>
    <t>Smart TV, Size 56", Brand: Transtec</t>
  </si>
  <si>
    <t>Desktop Computer (Appx.)</t>
  </si>
  <si>
    <t>Wireless Access Point</t>
  </si>
  <si>
    <t>Grand Total =</t>
  </si>
  <si>
    <t>Network Infrastructure</t>
  </si>
  <si>
    <t>Network Cable (Box)</t>
  </si>
  <si>
    <t>Network Switch (Cisco CBS350-8P)</t>
  </si>
  <si>
    <t xml:space="preserve">For Cutting Floor </t>
  </si>
  <si>
    <t>For Finishing floor</t>
  </si>
  <si>
    <t>For Sewing Floor 1</t>
  </si>
  <si>
    <t>For Sewing Floor 2</t>
  </si>
  <si>
    <t>For Sewing Floor 3</t>
  </si>
  <si>
    <t>For Sewing Floor 4</t>
  </si>
  <si>
    <t>For Sewing Floor 5</t>
  </si>
  <si>
    <t>Network Cost</t>
  </si>
  <si>
    <t xml:space="preserve">All Floor Hardware and Network cost </t>
  </si>
  <si>
    <t>Samsung Galaxy Tab S9 FE ( Wi-Fi Only) Model: for 1 Cutting floor</t>
  </si>
  <si>
    <t>Smart TV , Size: 56” Brand: Transtec</t>
  </si>
  <si>
    <t>Samsung Galaxy Tab S9 FE ( Wi-Fi Only) Model: for 1 Finishing floor</t>
  </si>
  <si>
    <t>Desktop Computer</t>
  </si>
  <si>
    <t>Hardware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</si>
</sst>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4" borderId="11" xfId="0" applyFill="1" applyBorder="1"/>
    <xf numFmtId="0" fontId="0" fillId="4" borderId="0" xfId="0" applyFill="1"/>
    <xf numFmtId="0" fontId="0" fillId="4" borderId="12" xfId="0" applyFill="1" applyBorder="1"/>
    <xf numFmtId="0" fontId="0" fillId="0" borderId="9" xfId="0" applyBorder="1"/>
    <xf numFmtId="0" fontId="2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1D3C-23C6-4610-AE53-CB5DF69159DE}">
  <dimension ref="A1:E174"/>
  <sheetViews>
    <sheetView tabSelected="1" workbookViewId="0">
      <selection activeCell="G11" sqref="G11"/>
    </sheetView>
  </sheetViews>
  <sheetFormatPr defaultRowHeight="14.5" x14ac:dyDescent="0.35"/>
  <cols>
    <col min="1" max="1" width="1.81640625" bestFit="1" customWidth="1"/>
    <col min="2" max="2" width="56" bestFit="1" customWidth="1"/>
    <col min="3" max="3" width="6.81640625" bestFit="1" customWidth="1"/>
    <col min="4" max="4" width="5.08984375" bestFit="1" customWidth="1"/>
    <col min="5" max="5" width="7.81640625" bestFit="1" customWidth="1"/>
  </cols>
  <sheetData>
    <row r="1" spans="1:5" ht="19" thickBot="1" x14ac:dyDescent="0.4">
      <c r="B1" s="25" t="s">
        <v>27</v>
      </c>
      <c r="C1" s="25"/>
      <c r="D1" s="25"/>
      <c r="E1" s="25"/>
    </row>
    <row r="2" spans="1:5" x14ac:dyDescent="0.35">
      <c r="A2" s="3"/>
      <c r="B2" s="4" t="s">
        <v>19</v>
      </c>
      <c r="C2" s="12" t="s">
        <v>4</v>
      </c>
      <c r="D2" s="12" t="s">
        <v>3</v>
      </c>
      <c r="E2" s="13" t="s">
        <v>5</v>
      </c>
    </row>
    <row r="3" spans="1:5" x14ac:dyDescent="0.35">
      <c r="A3" s="5">
        <v>1</v>
      </c>
      <c r="B3" t="s">
        <v>28</v>
      </c>
      <c r="C3">
        <v>23499</v>
      </c>
      <c r="D3">
        <v>11</v>
      </c>
      <c r="E3" s="6">
        <f>C3*D3</f>
        <v>258489</v>
      </c>
    </row>
    <row r="4" spans="1:5" x14ac:dyDescent="0.35">
      <c r="A4" s="21">
        <v>2</v>
      </c>
      <c r="B4" s="22" t="s">
        <v>31</v>
      </c>
      <c r="C4" s="22">
        <v>40000</v>
      </c>
      <c r="D4" s="22">
        <v>2</v>
      </c>
      <c r="E4" s="23">
        <f>D4*C4</f>
        <v>80000</v>
      </c>
    </row>
    <row r="5" spans="1:5" x14ac:dyDescent="0.35">
      <c r="A5" s="5">
        <v>3</v>
      </c>
      <c r="B5" t="s">
        <v>29</v>
      </c>
      <c r="C5">
        <v>66500</v>
      </c>
      <c r="D5">
        <v>1</v>
      </c>
      <c r="E5" s="6">
        <f t="shared" ref="E5:E7" si="0">C5*D5</f>
        <v>66500</v>
      </c>
    </row>
    <row r="6" spans="1:5" x14ac:dyDescent="0.35">
      <c r="A6" s="5">
        <v>4</v>
      </c>
      <c r="B6" t="s">
        <v>0</v>
      </c>
      <c r="C6">
        <v>16500</v>
      </c>
      <c r="D6">
        <v>12</v>
      </c>
      <c r="E6" s="6">
        <f t="shared" si="0"/>
        <v>198000</v>
      </c>
    </row>
    <row r="7" spans="1:5" x14ac:dyDescent="0.35">
      <c r="A7" s="5">
        <v>5</v>
      </c>
      <c r="B7" t="s">
        <v>2</v>
      </c>
      <c r="C7">
        <v>210000</v>
      </c>
      <c r="D7">
        <v>1</v>
      </c>
      <c r="E7" s="6">
        <f t="shared" si="0"/>
        <v>210000</v>
      </c>
    </row>
    <row r="8" spans="1:5" x14ac:dyDescent="0.35">
      <c r="A8" s="5"/>
      <c r="B8" s="7" t="s">
        <v>16</v>
      </c>
      <c r="E8" s="6"/>
    </row>
    <row r="9" spans="1:5" x14ac:dyDescent="0.35">
      <c r="A9" s="5">
        <v>6</v>
      </c>
      <c r="B9" t="s">
        <v>1</v>
      </c>
      <c r="C9">
        <v>43500</v>
      </c>
      <c r="D9">
        <v>2</v>
      </c>
      <c r="E9" s="6">
        <f>C9*D9</f>
        <v>87000</v>
      </c>
    </row>
    <row r="10" spans="1:5" x14ac:dyDescent="0.35">
      <c r="A10" s="5">
        <v>7</v>
      </c>
      <c r="B10" t="s">
        <v>17</v>
      </c>
      <c r="C10">
        <v>22000</v>
      </c>
      <c r="D10">
        <v>1</v>
      </c>
      <c r="E10" s="6">
        <f>C10*D10</f>
        <v>22000</v>
      </c>
    </row>
    <row r="11" spans="1:5" ht="15" thickBot="1" x14ac:dyDescent="0.4">
      <c r="A11" s="8">
        <v>8</v>
      </c>
      <c r="B11" s="9" t="s">
        <v>18</v>
      </c>
      <c r="C11" s="9">
        <v>35000</v>
      </c>
      <c r="D11" s="9">
        <v>1</v>
      </c>
      <c r="E11" s="10">
        <f>C11*D11</f>
        <v>35000</v>
      </c>
    </row>
    <row r="12" spans="1:5" ht="15" thickBot="1" x14ac:dyDescent="0.4">
      <c r="B12" s="14" t="s">
        <v>6</v>
      </c>
      <c r="E12" s="6">
        <f>SUM(E3:E11)</f>
        <v>956989</v>
      </c>
    </row>
    <row r="13" spans="1:5" x14ac:dyDescent="0.35">
      <c r="A13" s="3"/>
      <c r="B13" s="4" t="s">
        <v>20</v>
      </c>
      <c r="C13" s="12" t="s">
        <v>4</v>
      </c>
      <c r="D13" s="12" t="s">
        <v>3</v>
      </c>
      <c r="E13" s="13" t="s">
        <v>5</v>
      </c>
    </row>
    <row r="14" spans="1:5" x14ac:dyDescent="0.35">
      <c r="A14" s="5">
        <v>1</v>
      </c>
      <c r="B14" t="s">
        <v>30</v>
      </c>
      <c r="C14">
        <v>23499</v>
      </c>
      <c r="E14" s="6"/>
    </row>
    <row r="15" spans="1:5" x14ac:dyDescent="0.35">
      <c r="A15" s="21">
        <v>2</v>
      </c>
      <c r="B15" s="22" t="s">
        <v>31</v>
      </c>
      <c r="C15" s="22">
        <v>40000</v>
      </c>
      <c r="D15" s="22">
        <v>2</v>
      </c>
      <c r="E15" s="23">
        <f>D15*C15</f>
        <v>80000</v>
      </c>
    </row>
    <row r="16" spans="1:5" x14ac:dyDescent="0.35">
      <c r="A16" s="5">
        <v>2</v>
      </c>
      <c r="B16" t="s">
        <v>29</v>
      </c>
      <c r="C16">
        <v>66500</v>
      </c>
      <c r="D16">
        <v>1</v>
      </c>
      <c r="E16" s="6">
        <f t="shared" ref="E16" si="1">C16*D16</f>
        <v>66500</v>
      </c>
    </row>
    <row r="17" spans="1:5" x14ac:dyDescent="0.35">
      <c r="A17" s="5">
        <v>3</v>
      </c>
      <c r="B17" t="s">
        <v>0</v>
      </c>
      <c r="C17">
        <v>16500</v>
      </c>
      <c r="E17" s="6"/>
    </row>
    <row r="18" spans="1:5" x14ac:dyDescent="0.35">
      <c r="A18" s="5">
        <v>4</v>
      </c>
      <c r="B18" t="s">
        <v>2</v>
      </c>
      <c r="C18">
        <v>210000</v>
      </c>
      <c r="E18" s="6"/>
    </row>
    <row r="19" spans="1:5" x14ac:dyDescent="0.35">
      <c r="A19" s="5"/>
      <c r="B19" s="7" t="s">
        <v>16</v>
      </c>
      <c r="E19" s="6"/>
    </row>
    <row r="20" spans="1:5" x14ac:dyDescent="0.35">
      <c r="A20" s="5">
        <v>5</v>
      </c>
      <c r="B20" t="s">
        <v>1</v>
      </c>
      <c r="C20">
        <v>43500</v>
      </c>
      <c r="D20">
        <v>3</v>
      </c>
      <c r="E20" s="6">
        <f>C20*D20</f>
        <v>130500</v>
      </c>
    </row>
    <row r="21" spans="1:5" x14ac:dyDescent="0.35">
      <c r="A21" s="5">
        <v>6</v>
      </c>
      <c r="B21" t="s">
        <v>17</v>
      </c>
      <c r="C21">
        <v>22000</v>
      </c>
      <c r="D21">
        <v>2</v>
      </c>
      <c r="E21" s="6">
        <f>C21*D21</f>
        <v>44000</v>
      </c>
    </row>
    <row r="22" spans="1:5" ht="15" thickBot="1" x14ac:dyDescent="0.4">
      <c r="A22" s="8">
        <v>7</v>
      </c>
      <c r="B22" s="9" t="s">
        <v>18</v>
      </c>
      <c r="C22" s="9">
        <v>35000</v>
      </c>
      <c r="D22" s="9">
        <v>1</v>
      </c>
      <c r="E22" s="10">
        <f>C22*D22</f>
        <v>35000</v>
      </c>
    </row>
    <row r="23" spans="1:5" ht="15" thickBot="1" x14ac:dyDescent="0.4">
      <c r="B23" s="14" t="s">
        <v>6</v>
      </c>
      <c r="E23" s="6">
        <f>SUM(E14:E22)</f>
        <v>356000</v>
      </c>
    </row>
    <row r="24" spans="1:5" x14ac:dyDescent="0.35">
      <c r="A24" s="3"/>
      <c r="B24" s="4" t="s">
        <v>21</v>
      </c>
      <c r="C24" s="12" t="s">
        <v>4</v>
      </c>
      <c r="D24" s="12" t="s">
        <v>3</v>
      </c>
      <c r="E24" s="13" t="s">
        <v>5</v>
      </c>
    </row>
    <row r="25" spans="1:5" x14ac:dyDescent="0.35">
      <c r="A25" s="5">
        <v>1</v>
      </c>
      <c r="B25" t="s">
        <v>7</v>
      </c>
      <c r="C25">
        <v>23499</v>
      </c>
      <c r="D25">
        <v>11</v>
      </c>
      <c r="E25" s="6">
        <f>C25*D25</f>
        <v>258489</v>
      </c>
    </row>
    <row r="26" spans="1:5" x14ac:dyDescent="0.35">
      <c r="A26" s="5">
        <v>2</v>
      </c>
      <c r="B26" t="s">
        <v>29</v>
      </c>
      <c r="C26">
        <v>66500</v>
      </c>
      <c r="D26">
        <v>1</v>
      </c>
      <c r="E26" s="6">
        <f t="shared" ref="E26:E28" si="2">C26*D26</f>
        <v>66500</v>
      </c>
    </row>
    <row r="27" spans="1:5" x14ac:dyDescent="0.35">
      <c r="A27" s="5">
        <v>3</v>
      </c>
      <c r="B27" t="s">
        <v>0</v>
      </c>
      <c r="C27">
        <v>16500</v>
      </c>
      <c r="D27">
        <v>11</v>
      </c>
      <c r="E27" s="6">
        <f t="shared" si="2"/>
        <v>181500</v>
      </c>
    </row>
    <row r="28" spans="1:5" x14ac:dyDescent="0.35">
      <c r="A28" s="5">
        <v>4</v>
      </c>
      <c r="B28" t="s">
        <v>2</v>
      </c>
      <c r="C28">
        <v>210000</v>
      </c>
      <c r="E28" s="6">
        <f t="shared" si="2"/>
        <v>0</v>
      </c>
    </row>
    <row r="29" spans="1:5" x14ac:dyDescent="0.35">
      <c r="A29" s="5"/>
      <c r="B29" s="7" t="s">
        <v>16</v>
      </c>
      <c r="E29" s="6"/>
    </row>
    <row r="30" spans="1:5" x14ac:dyDescent="0.35">
      <c r="A30" s="5">
        <v>5</v>
      </c>
      <c r="B30" t="s">
        <v>1</v>
      </c>
      <c r="C30">
        <v>43500</v>
      </c>
      <c r="D30">
        <v>3</v>
      </c>
      <c r="E30" s="6">
        <f>C30*D30</f>
        <v>130500</v>
      </c>
    </row>
    <row r="31" spans="1:5" x14ac:dyDescent="0.35">
      <c r="A31" s="5">
        <v>6</v>
      </c>
      <c r="B31" t="s">
        <v>17</v>
      </c>
      <c r="C31">
        <v>22000</v>
      </c>
      <c r="D31">
        <v>2</v>
      </c>
      <c r="E31" s="6">
        <f>C31*D31</f>
        <v>44000</v>
      </c>
    </row>
    <row r="32" spans="1:5" ht="15" thickBot="1" x14ac:dyDescent="0.4">
      <c r="A32" s="8">
        <v>7</v>
      </c>
      <c r="B32" s="9" t="s">
        <v>18</v>
      </c>
      <c r="C32" s="9">
        <v>35000</v>
      </c>
      <c r="D32" s="9">
        <v>1</v>
      </c>
      <c r="E32" s="10">
        <f>C32*D32</f>
        <v>35000</v>
      </c>
    </row>
    <row r="33" spans="1:5" ht="15" thickBot="1" x14ac:dyDescent="0.4">
      <c r="B33" s="14" t="s">
        <v>6</v>
      </c>
      <c r="E33" s="6">
        <f>SUM(E25:E32)</f>
        <v>715989</v>
      </c>
    </row>
    <row r="34" spans="1:5" x14ac:dyDescent="0.35">
      <c r="A34" s="3"/>
      <c r="B34" s="4" t="s">
        <v>22</v>
      </c>
      <c r="C34" s="12" t="s">
        <v>4</v>
      </c>
      <c r="D34" s="12" t="s">
        <v>3</v>
      </c>
      <c r="E34" s="13" t="s">
        <v>5</v>
      </c>
    </row>
    <row r="35" spans="1:5" x14ac:dyDescent="0.35">
      <c r="A35" s="5">
        <v>1</v>
      </c>
      <c r="B35" t="s">
        <v>7</v>
      </c>
      <c r="C35">
        <v>23499</v>
      </c>
      <c r="D35">
        <v>11</v>
      </c>
      <c r="E35" s="6">
        <f>C35*D35</f>
        <v>258489</v>
      </c>
    </row>
    <row r="36" spans="1:5" x14ac:dyDescent="0.35">
      <c r="A36" s="5">
        <v>2</v>
      </c>
      <c r="B36" t="s">
        <v>29</v>
      </c>
      <c r="C36">
        <v>66500</v>
      </c>
      <c r="D36">
        <v>1</v>
      </c>
      <c r="E36" s="6">
        <f t="shared" ref="E36:E38" si="3">C36*D36</f>
        <v>66500</v>
      </c>
    </row>
    <row r="37" spans="1:5" x14ac:dyDescent="0.35">
      <c r="A37" s="5">
        <v>3</v>
      </c>
      <c r="B37" t="s">
        <v>0</v>
      </c>
      <c r="C37">
        <v>16500</v>
      </c>
      <c r="D37">
        <v>11</v>
      </c>
      <c r="E37" s="6">
        <f t="shared" si="3"/>
        <v>181500</v>
      </c>
    </row>
    <row r="38" spans="1:5" x14ac:dyDescent="0.35">
      <c r="A38" s="5">
        <v>4</v>
      </c>
      <c r="B38" t="s">
        <v>2</v>
      </c>
      <c r="C38">
        <v>210000</v>
      </c>
      <c r="D38">
        <v>0</v>
      </c>
      <c r="E38" s="6">
        <f t="shared" si="3"/>
        <v>0</v>
      </c>
    </row>
    <row r="39" spans="1:5" x14ac:dyDescent="0.35">
      <c r="A39" s="5"/>
      <c r="B39" s="7" t="s">
        <v>16</v>
      </c>
      <c r="E39" s="6"/>
    </row>
    <row r="40" spans="1:5" x14ac:dyDescent="0.35">
      <c r="A40" s="5">
        <v>5</v>
      </c>
      <c r="B40" t="s">
        <v>1</v>
      </c>
      <c r="C40">
        <v>43500</v>
      </c>
      <c r="D40">
        <v>3</v>
      </c>
      <c r="E40" s="6">
        <f>C40*D40</f>
        <v>130500</v>
      </c>
    </row>
    <row r="41" spans="1:5" x14ac:dyDescent="0.35">
      <c r="A41" s="5">
        <v>6</v>
      </c>
      <c r="B41" t="s">
        <v>17</v>
      </c>
      <c r="C41">
        <v>22000</v>
      </c>
      <c r="D41">
        <v>2</v>
      </c>
      <c r="E41" s="6">
        <f>C41*D41</f>
        <v>44000</v>
      </c>
    </row>
    <row r="42" spans="1:5" ht="15" thickBot="1" x14ac:dyDescent="0.4">
      <c r="A42" s="8">
        <v>7</v>
      </c>
      <c r="B42" s="9" t="s">
        <v>18</v>
      </c>
      <c r="C42" s="9">
        <v>35000</v>
      </c>
      <c r="D42" s="9">
        <v>1</v>
      </c>
      <c r="E42" s="10">
        <f>C42*D42</f>
        <v>35000</v>
      </c>
    </row>
    <row r="43" spans="1:5" ht="15" thickBot="1" x14ac:dyDescent="0.4">
      <c r="B43" s="14" t="s">
        <v>6</v>
      </c>
      <c r="E43" s="6">
        <f>SUM(E35:E42)</f>
        <v>715989</v>
      </c>
    </row>
    <row r="44" spans="1:5" x14ac:dyDescent="0.35">
      <c r="A44" s="3"/>
      <c r="B44" s="4" t="s">
        <v>23</v>
      </c>
      <c r="C44" s="12" t="s">
        <v>4</v>
      </c>
      <c r="D44" s="12" t="s">
        <v>3</v>
      </c>
      <c r="E44" s="13" t="s">
        <v>5</v>
      </c>
    </row>
    <row r="45" spans="1:5" x14ac:dyDescent="0.35">
      <c r="A45" s="5">
        <v>1</v>
      </c>
      <c r="B45" t="s">
        <v>7</v>
      </c>
      <c r="C45">
        <v>23499</v>
      </c>
      <c r="D45">
        <v>11</v>
      </c>
      <c r="E45" s="6">
        <f>C45*D45</f>
        <v>258489</v>
      </c>
    </row>
    <row r="46" spans="1:5" x14ac:dyDescent="0.35">
      <c r="A46" s="5">
        <v>2</v>
      </c>
      <c r="B46" t="s">
        <v>29</v>
      </c>
      <c r="C46">
        <v>66500</v>
      </c>
      <c r="D46">
        <v>1</v>
      </c>
      <c r="E46" s="6">
        <f t="shared" ref="E46:E48" si="4">C46*D46</f>
        <v>66500</v>
      </c>
    </row>
    <row r="47" spans="1:5" x14ac:dyDescent="0.35">
      <c r="A47" s="5">
        <v>3</v>
      </c>
      <c r="B47" t="s">
        <v>0</v>
      </c>
      <c r="C47">
        <v>16500</v>
      </c>
      <c r="D47">
        <v>11</v>
      </c>
      <c r="E47" s="6">
        <f t="shared" si="4"/>
        <v>181500</v>
      </c>
    </row>
    <row r="48" spans="1:5" x14ac:dyDescent="0.35">
      <c r="A48" s="5">
        <v>4</v>
      </c>
      <c r="B48" t="s">
        <v>2</v>
      </c>
      <c r="C48">
        <v>210000</v>
      </c>
      <c r="E48" s="6">
        <f t="shared" si="4"/>
        <v>0</v>
      </c>
    </row>
    <row r="49" spans="1:5" x14ac:dyDescent="0.35">
      <c r="A49" s="5"/>
      <c r="B49" s="7" t="s">
        <v>16</v>
      </c>
      <c r="E49" s="6"/>
    </row>
    <row r="50" spans="1:5" x14ac:dyDescent="0.35">
      <c r="A50" s="5">
        <v>5</v>
      </c>
      <c r="B50" t="s">
        <v>1</v>
      </c>
      <c r="C50">
        <v>43500</v>
      </c>
      <c r="D50">
        <v>3</v>
      </c>
      <c r="E50" s="6">
        <f>C50*D50</f>
        <v>130500</v>
      </c>
    </row>
    <row r="51" spans="1:5" x14ac:dyDescent="0.35">
      <c r="A51" s="5">
        <v>6</v>
      </c>
      <c r="B51" t="s">
        <v>17</v>
      </c>
      <c r="C51">
        <v>22000</v>
      </c>
      <c r="D51">
        <v>2</v>
      </c>
      <c r="E51" s="6">
        <f>C51*D51</f>
        <v>44000</v>
      </c>
    </row>
    <row r="52" spans="1:5" ht="15" thickBot="1" x14ac:dyDescent="0.4">
      <c r="A52" s="8">
        <v>7</v>
      </c>
      <c r="B52" s="9" t="s">
        <v>18</v>
      </c>
      <c r="C52" s="9">
        <v>35000</v>
      </c>
      <c r="D52" s="9">
        <v>1</v>
      </c>
      <c r="E52" s="10">
        <f>C52*D52</f>
        <v>35000</v>
      </c>
    </row>
    <row r="53" spans="1:5" ht="15" thickBot="1" x14ac:dyDescent="0.4">
      <c r="B53" s="14" t="s">
        <v>6</v>
      </c>
      <c r="E53" s="6">
        <f>SUM(E45:E52)</f>
        <v>715989</v>
      </c>
    </row>
    <row r="54" spans="1:5" x14ac:dyDescent="0.35">
      <c r="A54" s="3"/>
      <c r="B54" s="4" t="s">
        <v>24</v>
      </c>
      <c r="C54" s="4" t="s">
        <v>4</v>
      </c>
      <c r="D54" s="4" t="s">
        <v>3</v>
      </c>
      <c r="E54" s="11" t="s">
        <v>5</v>
      </c>
    </row>
    <row r="55" spans="1:5" x14ac:dyDescent="0.35">
      <c r="A55" s="5">
        <v>1</v>
      </c>
      <c r="B55" t="s">
        <v>7</v>
      </c>
      <c r="C55">
        <v>23499</v>
      </c>
      <c r="D55">
        <v>11</v>
      </c>
      <c r="E55" s="6">
        <f>C55*D55</f>
        <v>258489</v>
      </c>
    </row>
    <row r="56" spans="1:5" x14ac:dyDescent="0.35">
      <c r="A56" s="5">
        <v>2</v>
      </c>
      <c r="B56" t="s">
        <v>29</v>
      </c>
      <c r="C56">
        <v>66500</v>
      </c>
      <c r="D56">
        <v>1</v>
      </c>
      <c r="E56" s="6">
        <f t="shared" ref="E56:E58" si="5">C56*D56</f>
        <v>66500</v>
      </c>
    </row>
    <row r="57" spans="1:5" x14ac:dyDescent="0.35">
      <c r="A57" s="5">
        <v>3</v>
      </c>
      <c r="B57" t="s">
        <v>0</v>
      </c>
      <c r="C57">
        <v>16500</v>
      </c>
      <c r="D57">
        <v>11</v>
      </c>
      <c r="E57" s="6">
        <f t="shared" si="5"/>
        <v>181500</v>
      </c>
    </row>
    <row r="58" spans="1:5" x14ac:dyDescent="0.35">
      <c r="A58" s="5">
        <v>4</v>
      </c>
      <c r="B58" t="s">
        <v>2</v>
      </c>
      <c r="C58">
        <v>210000</v>
      </c>
      <c r="E58" s="6">
        <f t="shared" si="5"/>
        <v>0</v>
      </c>
    </row>
    <row r="59" spans="1:5" x14ac:dyDescent="0.35">
      <c r="A59" s="5"/>
      <c r="B59" s="7" t="s">
        <v>16</v>
      </c>
      <c r="E59" s="6"/>
    </row>
    <row r="60" spans="1:5" x14ac:dyDescent="0.35">
      <c r="A60" s="5">
        <v>5</v>
      </c>
      <c r="B60" t="s">
        <v>1</v>
      </c>
      <c r="C60">
        <v>43500</v>
      </c>
      <c r="D60">
        <v>3</v>
      </c>
      <c r="E60" s="6">
        <f>C60*D60</f>
        <v>130500</v>
      </c>
    </row>
    <row r="61" spans="1:5" x14ac:dyDescent="0.35">
      <c r="A61" s="5">
        <v>6</v>
      </c>
      <c r="B61" t="s">
        <v>17</v>
      </c>
      <c r="C61">
        <v>22000</v>
      </c>
      <c r="D61">
        <v>2</v>
      </c>
      <c r="E61" s="6">
        <f>C61*D61</f>
        <v>44000</v>
      </c>
    </row>
    <row r="62" spans="1:5" ht="15" thickBot="1" x14ac:dyDescent="0.4">
      <c r="A62" s="8">
        <v>7</v>
      </c>
      <c r="B62" s="9" t="s">
        <v>18</v>
      </c>
      <c r="C62" s="9">
        <v>35000</v>
      </c>
      <c r="D62" s="9">
        <v>1</v>
      </c>
      <c r="E62" s="10">
        <f>C62*D62</f>
        <v>35000</v>
      </c>
    </row>
    <row r="63" spans="1:5" ht="15" thickBot="1" x14ac:dyDescent="0.4">
      <c r="B63" s="14" t="s">
        <v>6</v>
      </c>
      <c r="E63" s="6">
        <f>SUM(E55:E62)</f>
        <v>715989</v>
      </c>
    </row>
    <row r="64" spans="1:5" x14ac:dyDescent="0.35">
      <c r="A64" s="3"/>
      <c r="B64" s="4" t="s">
        <v>25</v>
      </c>
      <c r="C64" s="4" t="s">
        <v>4</v>
      </c>
      <c r="D64" s="4" t="s">
        <v>3</v>
      </c>
      <c r="E64" s="11" t="s">
        <v>5</v>
      </c>
    </row>
    <row r="65" spans="1:5" x14ac:dyDescent="0.35">
      <c r="A65" s="5">
        <v>1</v>
      </c>
      <c r="B65" t="s">
        <v>7</v>
      </c>
      <c r="C65">
        <v>23499</v>
      </c>
      <c r="D65">
        <v>11</v>
      </c>
      <c r="E65" s="6">
        <f>C65*D65</f>
        <v>258489</v>
      </c>
    </row>
    <row r="66" spans="1:5" x14ac:dyDescent="0.35">
      <c r="A66" s="5">
        <v>2</v>
      </c>
      <c r="B66" t="s">
        <v>29</v>
      </c>
      <c r="C66">
        <v>66500</v>
      </c>
      <c r="D66">
        <v>1</v>
      </c>
      <c r="E66" s="6">
        <f t="shared" ref="E66:E68" si="6">C66*D66</f>
        <v>66500</v>
      </c>
    </row>
    <row r="67" spans="1:5" x14ac:dyDescent="0.35">
      <c r="A67" s="5">
        <v>3</v>
      </c>
      <c r="B67" t="s">
        <v>0</v>
      </c>
      <c r="C67">
        <v>16500</v>
      </c>
      <c r="D67">
        <v>11</v>
      </c>
      <c r="E67" s="6">
        <f t="shared" si="6"/>
        <v>181500</v>
      </c>
    </row>
    <row r="68" spans="1:5" x14ac:dyDescent="0.35">
      <c r="A68" s="5">
        <v>4</v>
      </c>
      <c r="B68" t="s">
        <v>2</v>
      </c>
      <c r="C68">
        <v>210000</v>
      </c>
      <c r="D68">
        <v>0</v>
      </c>
      <c r="E68" s="6">
        <f t="shared" si="6"/>
        <v>0</v>
      </c>
    </row>
    <row r="69" spans="1:5" x14ac:dyDescent="0.35">
      <c r="A69" s="5"/>
      <c r="B69" s="7" t="s">
        <v>16</v>
      </c>
      <c r="E69" s="6"/>
    </row>
    <row r="70" spans="1:5" x14ac:dyDescent="0.35">
      <c r="A70" s="5">
        <v>5</v>
      </c>
      <c r="B70" t="s">
        <v>1</v>
      </c>
      <c r="C70">
        <v>43500</v>
      </c>
      <c r="D70">
        <v>3</v>
      </c>
      <c r="E70" s="6">
        <f>C70*D70</f>
        <v>130500</v>
      </c>
    </row>
    <row r="71" spans="1:5" x14ac:dyDescent="0.35">
      <c r="A71" s="5">
        <v>6</v>
      </c>
      <c r="B71" t="s">
        <v>17</v>
      </c>
      <c r="C71">
        <v>22000</v>
      </c>
      <c r="D71">
        <v>2</v>
      </c>
      <c r="E71" s="6">
        <f>C71*D71</f>
        <v>44000</v>
      </c>
    </row>
    <row r="72" spans="1:5" ht="15" thickBot="1" x14ac:dyDescent="0.4">
      <c r="A72" s="8">
        <v>7</v>
      </c>
      <c r="B72" s="9" t="s">
        <v>18</v>
      </c>
      <c r="C72" s="9">
        <v>35000</v>
      </c>
      <c r="D72" s="9">
        <v>1</v>
      </c>
      <c r="E72" s="10">
        <f>C72*D72</f>
        <v>35000</v>
      </c>
    </row>
    <row r="73" spans="1:5" x14ac:dyDescent="0.35">
      <c r="B73" s="14" t="s">
        <v>6</v>
      </c>
      <c r="E73" s="24">
        <f>SUM(E65:E72)</f>
        <v>715989</v>
      </c>
    </row>
    <row r="74" spans="1:5" x14ac:dyDescent="0.35">
      <c r="B74" s="14" t="s">
        <v>32</v>
      </c>
      <c r="E74">
        <f>SUM(E3:E7,E14:E18,E25:E28,E35:E38,E45:E48,E55:E58,E65:E68)</f>
        <v>3491934</v>
      </c>
    </row>
    <row r="75" spans="1:5" x14ac:dyDescent="0.35">
      <c r="B75" s="14" t="s">
        <v>26</v>
      </c>
      <c r="E75">
        <f>SUM(E9:E11,E20:E22,E30:E32,E40:E42,E50:E52,E60:E62,E70:E72)</f>
        <v>1401000</v>
      </c>
    </row>
    <row r="76" spans="1:5" x14ac:dyDescent="0.35">
      <c r="B76" s="14" t="s">
        <v>6</v>
      </c>
      <c r="E76">
        <f>SUM(E74:E75)</f>
        <v>4892934</v>
      </c>
    </row>
    <row r="165" spans="1:5" x14ac:dyDescent="0.35">
      <c r="B165" t="s">
        <v>6</v>
      </c>
      <c r="E165">
        <f>SUM(E35:E43)</f>
        <v>1431978</v>
      </c>
    </row>
    <row r="166" spans="1:5" x14ac:dyDescent="0.35">
      <c r="A166" s="15" t="s">
        <v>8</v>
      </c>
      <c r="B166" s="16"/>
      <c r="C166" s="16"/>
      <c r="D166" s="16"/>
      <c r="E166" s="17"/>
    </row>
    <row r="167" spans="1:5" x14ac:dyDescent="0.35">
      <c r="A167" s="18"/>
      <c r="B167" s="19"/>
      <c r="C167" s="19"/>
      <c r="D167" s="19"/>
      <c r="E167" s="20"/>
    </row>
    <row r="168" spans="1:5" x14ac:dyDescent="0.35">
      <c r="A168" s="1" t="s">
        <v>9</v>
      </c>
      <c r="B168" s="1" t="s">
        <v>10</v>
      </c>
      <c r="C168" s="1" t="s">
        <v>4</v>
      </c>
      <c r="D168" s="1" t="s">
        <v>3</v>
      </c>
      <c r="E168" s="1" t="s">
        <v>5</v>
      </c>
    </row>
    <row r="169" spans="1:5" x14ac:dyDescent="0.35">
      <c r="A169" s="1">
        <v>1</v>
      </c>
      <c r="B169" s="1" t="s">
        <v>11</v>
      </c>
      <c r="C169" s="1">
        <v>23499</v>
      </c>
      <c r="D169" s="1">
        <v>44</v>
      </c>
      <c r="E169" s="1">
        <f>D169*C169</f>
        <v>1033956</v>
      </c>
    </row>
    <row r="170" spans="1:5" x14ac:dyDescent="0.35">
      <c r="A170" s="1">
        <v>2</v>
      </c>
      <c r="B170" s="1" t="s">
        <v>0</v>
      </c>
      <c r="C170" s="1">
        <v>16500</v>
      </c>
      <c r="D170" s="1">
        <v>44</v>
      </c>
      <c r="E170" s="1">
        <f>D170*C170</f>
        <v>726000</v>
      </c>
    </row>
    <row r="171" spans="1:5" x14ac:dyDescent="0.35">
      <c r="A171" s="1">
        <v>3</v>
      </c>
      <c r="B171" s="1" t="s">
        <v>12</v>
      </c>
      <c r="C171" s="1">
        <v>66500</v>
      </c>
      <c r="D171" s="1">
        <v>5</v>
      </c>
      <c r="E171" s="1">
        <f>D171*C171</f>
        <v>332500</v>
      </c>
    </row>
    <row r="172" spans="1:5" x14ac:dyDescent="0.35">
      <c r="A172" s="1">
        <v>4</v>
      </c>
      <c r="B172" s="1" t="s">
        <v>13</v>
      </c>
      <c r="C172" s="1">
        <v>40000</v>
      </c>
      <c r="D172" s="1">
        <v>2</v>
      </c>
      <c r="E172" s="1">
        <f>D172*C172</f>
        <v>80000</v>
      </c>
    </row>
    <row r="173" spans="1:5" x14ac:dyDescent="0.35">
      <c r="A173" s="1">
        <v>5</v>
      </c>
      <c r="B173" s="2" t="s">
        <v>14</v>
      </c>
      <c r="C173" s="1"/>
      <c r="D173" s="1"/>
      <c r="E173" s="1"/>
    </row>
    <row r="174" spans="1:5" x14ac:dyDescent="0.35">
      <c r="A174" s="1"/>
      <c r="B174" s="1" t="s">
        <v>15</v>
      </c>
      <c r="C174" s="1"/>
      <c r="D174" s="1"/>
      <c r="E174" s="1">
        <f>SUM(E169:E173)</f>
        <v>2172456</v>
      </c>
    </row>
  </sheetData>
  <mergeCells count="2">
    <mergeCell ref="A166:E167"/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Matiur Rahman</dc:creator>
  <cp:lastModifiedBy>Md Seydur Rahman</cp:lastModifiedBy>
  <cp:lastPrinted>2025-12-10T06:23:28Z</cp:lastPrinted>
  <dcterms:created xsi:type="dcterms:W3CDTF">2025-12-09T10:30:23Z</dcterms:created>
  <dcterms:modified xsi:type="dcterms:W3CDTF">2025-12-10T08:02:40Z</dcterms:modified>
</cp:coreProperties>
</file>